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ison Fernanda\Downloads\Documents\"/>
    </mc:Choice>
  </mc:AlternateContent>
  <xr:revisionPtr revIDLastSave="0" documentId="8_{DD1C8685-1FD8-42E7-A479-CA88049BAB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 de prueba 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1" i="2" l="1"/>
  <c r="N12" i="2"/>
  <c r="N13" i="2"/>
  <c r="N10" i="2"/>
</calcChain>
</file>

<file path=xl/sharedStrings.xml><?xml version="1.0" encoding="utf-8"?>
<sst xmlns="http://schemas.openxmlformats.org/spreadsheetml/2006/main" count="89" uniqueCount="57">
  <si>
    <t>Caso: servicio de gestión de residuos sólidos en Neiva | Cada fila representa una operación individual de recolección</t>
  </si>
  <si>
    <t>Fecha</t>
  </si>
  <si>
    <t>Comuna</t>
  </si>
  <si>
    <t>Barrio</t>
  </si>
  <si>
    <t>Cantidad_Residuos_Kg</t>
  </si>
  <si>
    <t>Numero_Recolecciones</t>
  </si>
  <si>
    <t>Distancia_Recorrida_Km</t>
  </si>
  <si>
    <t>REC001</t>
  </si>
  <si>
    <t>Comuna 1</t>
  </si>
  <si>
    <t>Centro</t>
  </si>
  <si>
    <t>V001</t>
  </si>
  <si>
    <t>Compactador</t>
  </si>
  <si>
    <t>Ordinario</t>
  </si>
  <si>
    <t>REC002</t>
  </si>
  <si>
    <t>Comuna 2</t>
  </si>
  <si>
    <t>Las Granjas</t>
  </si>
  <si>
    <t>V002</t>
  </si>
  <si>
    <t>Reciclable</t>
  </si>
  <si>
    <t>REC003</t>
  </si>
  <si>
    <t>Comuna 3</t>
  </si>
  <si>
    <t>Chapinero</t>
  </si>
  <si>
    <t>V003</t>
  </si>
  <si>
    <t>Camión liviano</t>
  </si>
  <si>
    <t>Orgánico</t>
  </si>
  <si>
    <t>REC004</t>
  </si>
  <si>
    <t>Comuna 4</t>
  </si>
  <si>
    <t>Los Parques</t>
  </si>
  <si>
    <t>REC005</t>
  </si>
  <si>
    <t>Comuna 5</t>
  </si>
  <si>
    <t>El Jardín</t>
  </si>
  <si>
    <t>REC006</t>
  </si>
  <si>
    <t>Comuna 6</t>
  </si>
  <si>
    <t>Timanco</t>
  </si>
  <si>
    <t>REC007</t>
  </si>
  <si>
    <t>Comuna 7</t>
  </si>
  <si>
    <t>Canaima</t>
  </si>
  <si>
    <t>REC008</t>
  </si>
  <si>
    <t>Comuna 8</t>
  </si>
  <si>
    <t>Las Acacias</t>
  </si>
  <si>
    <t>REC009</t>
  </si>
  <si>
    <t>Comuna 9</t>
  </si>
  <si>
    <t>Alberto Galindo</t>
  </si>
  <si>
    <t>REC010</t>
  </si>
  <si>
    <t>Comuna 10</t>
  </si>
  <si>
    <t>Las Palmas</t>
  </si>
  <si>
    <t>REC011</t>
  </si>
  <si>
    <t>REC012</t>
  </si>
  <si>
    <t>Resumen de control</t>
  </si>
  <si>
    <t>Número de filas</t>
  </si>
  <si>
    <t>Total residuos (kg)</t>
  </si>
  <si>
    <t>Total recolecciones</t>
  </si>
  <si>
    <t>Distancia total (km)</t>
  </si>
  <si>
    <t xml:space="preserve">Id_recoleccion </t>
  </si>
  <si>
    <t>Id_ vehiculo</t>
  </si>
  <si>
    <t>Tipo_vehiculo</t>
  </si>
  <si>
    <t>Tipo_residuo</t>
  </si>
  <si>
    <t xml:space="preserve">DATOS DE PRUEBA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</si>
</sst>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ptos"/>
      <charset val="1"/>
    </font>
    <font>
      <sz val="10"/>
      <name val="Aptos"/>
      <family val="2"/>
    </font>
    <font>
      <b/>
      <sz val="11"/>
      <name val="Cambria"/>
      <family val="1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sz val="20"/>
      <color theme="1"/>
      <name val="Calibri"/>
      <family val="2"/>
      <charset val="1"/>
    </font>
    <font>
      <i/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E2F0D9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4" fontId="2" fillId="0" borderId="8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4" borderId="1" xfId="0" applyFont="1" applyFill="1" applyBorder="1"/>
    <xf numFmtId="4" fontId="3" fillId="4" borderId="1" xfId="0" applyNumberFormat="1" applyFont="1" applyFill="1" applyBorder="1"/>
    <xf numFmtId="0" fontId="5" fillId="2" borderId="1" xfId="0" applyFont="1" applyFill="1" applyBorder="1"/>
    <xf numFmtId="4" fontId="3" fillId="2" borderId="1" xfId="0" applyNumberFormat="1" applyFont="1" applyFill="1" applyBorder="1"/>
  </cellXfs>
  <cellStyles count="1">
    <cellStyle name="Normal" xfId="0" builtinId="0"/>
  </cellStyles>
  <dxfs count="14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80"/>
      <rgbColor rgb="FFC0C0C0"/>
      <rgbColor rgb="FF808080"/>
      <rgbColor rgb="FF9999FF"/>
      <rgbColor rgb="FF993366"/>
      <rgbColor rgb="FFFFFFCC"/>
      <rgbColor rgb="FFE8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6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1D5DF-DA81-4554-9150-063A3A4AE66A}" name="Tabla2" displayName="Tabla2" ref="B8:K20" totalsRowShown="0" headerRowDxfId="0" headerRowBorderDxfId="12" tableBorderDxfId="13" totalsRowBorderDxfId="11">
  <autoFilter ref="B8:K20" xr:uid="{A421D5DF-DA81-4554-9150-063A3A4AE66A}"/>
  <tableColumns count="10">
    <tableColumn id="1" xr3:uid="{876AD7E5-3C33-4081-8AFE-7EE36B324471}" name="Id_recoleccion " dataDxfId="10"/>
    <tableColumn id="2" xr3:uid="{F348857A-6CE2-4CFD-B918-4138F5A7E0C1}" name="Fecha" dataDxfId="9"/>
    <tableColumn id="3" xr3:uid="{187D5368-F551-4550-B503-4D9C622CCD89}" name="Comuna" dataDxfId="8"/>
    <tableColumn id="4" xr3:uid="{C00E512F-C553-4EF6-8FC7-727CD7A307C3}" name="Barrio" dataDxfId="7"/>
    <tableColumn id="5" xr3:uid="{6A2FA5B3-EE66-43BA-9CD0-789078FFA6A1}" name="Id_ vehiculo" dataDxfId="6"/>
    <tableColumn id="6" xr3:uid="{C785A74A-0CB1-4941-B610-C6B754445F49}" name="Tipo_vehiculo" dataDxfId="5"/>
    <tableColumn id="7" xr3:uid="{EB3DAE26-419A-403D-8142-1C204F9FE3E5}" name="Tipo_residuo" dataDxfId="4"/>
    <tableColumn id="8" xr3:uid="{D0DAB01C-CB46-475B-8F7E-CF79331524B7}" name="Cantidad_Residuos_Kg" dataDxfId="3"/>
    <tableColumn id="9" xr3:uid="{94CAB1FC-BB1D-4760-8F2A-78B36B21D290}" name="Numero_Recolecciones" dataDxfId="2"/>
    <tableColumn id="10" xr3:uid="{C6FDB31A-FFD4-4E6B-B421-47A9EB5DD207}" name="Distancia_Recorrida_Km" dataDxfId="1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4A4A-E39A-4911-94F7-DD81FA0D157A}">
  <dimension ref="A3:N20"/>
  <sheetViews>
    <sheetView tabSelected="1" topLeftCell="B1" workbookViewId="0">
      <selection activeCell="B3" sqref="B3:K5"/>
    </sheetView>
  </sheetViews>
  <sheetFormatPr baseColWidth="10" defaultRowHeight="14.4" x14ac:dyDescent="0.3"/>
  <cols>
    <col min="2" max="2" width="15.33203125" customWidth="1"/>
    <col min="6" max="6" width="12.6640625" customWidth="1"/>
    <col min="7" max="7" width="14.21875" customWidth="1"/>
    <col min="8" max="8" width="13.44140625" customWidth="1"/>
    <col min="9" max="9" width="21.21875" customWidth="1"/>
    <col min="10" max="10" width="22.21875" customWidth="1"/>
    <col min="11" max="11" width="22.77734375" customWidth="1"/>
    <col min="13" max="13" width="20.21875" customWidth="1"/>
  </cols>
  <sheetData>
    <row r="3" spans="1:14" ht="14.4" customHeight="1" x14ac:dyDescent="0.3">
      <c r="B3" s="17" t="s">
        <v>56</v>
      </c>
      <c r="C3" s="17"/>
      <c r="D3" s="17"/>
      <c r="E3" s="17"/>
      <c r="F3" s="17"/>
      <c r="G3" s="17"/>
      <c r="H3" s="17"/>
      <c r="I3" s="17"/>
      <c r="J3" s="17"/>
      <c r="K3" s="17"/>
    </row>
    <row r="4" spans="1:14" ht="14.4" customHeight="1" x14ac:dyDescent="0.3"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4" x14ac:dyDescent="0.3"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4" ht="14.4" customHeight="1" x14ac:dyDescent="0.3">
      <c r="A6" s="1"/>
      <c r="B6" s="18" t="s">
        <v>0</v>
      </c>
      <c r="C6" s="18"/>
      <c r="D6" s="18"/>
      <c r="E6" s="18"/>
      <c r="F6" s="18"/>
      <c r="G6" s="18"/>
      <c r="H6" s="18"/>
      <c r="I6" s="18"/>
      <c r="J6" s="18"/>
      <c r="K6" s="18"/>
    </row>
    <row r="7" spans="1:14" ht="14.4" customHeight="1" x14ac:dyDescent="0.3"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4" x14ac:dyDescent="0.3">
      <c r="B8" s="8" t="s">
        <v>52</v>
      </c>
      <c r="C8" s="9" t="s">
        <v>1</v>
      </c>
      <c r="D8" s="9" t="s">
        <v>2</v>
      </c>
      <c r="E8" s="9" t="s">
        <v>3</v>
      </c>
      <c r="F8" s="9" t="s">
        <v>53</v>
      </c>
      <c r="G8" s="9" t="s">
        <v>54</v>
      </c>
      <c r="H8" s="9" t="s">
        <v>55</v>
      </c>
      <c r="I8" s="9" t="s">
        <v>4</v>
      </c>
      <c r="J8" s="9" t="s">
        <v>5</v>
      </c>
      <c r="K8" s="10" t="s">
        <v>6</v>
      </c>
    </row>
    <row r="9" spans="1:14" ht="15.6" x14ac:dyDescent="0.3">
      <c r="B9" s="6" t="s">
        <v>7</v>
      </c>
      <c r="C9" s="3">
        <v>46266</v>
      </c>
      <c r="D9" s="2" t="s">
        <v>8</v>
      </c>
      <c r="E9" s="4" t="s">
        <v>9</v>
      </c>
      <c r="F9" s="2" t="s">
        <v>10</v>
      </c>
      <c r="G9" s="4" t="s">
        <v>11</v>
      </c>
      <c r="H9" s="4" t="s">
        <v>12</v>
      </c>
      <c r="I9" s="5">
        <v>1250</v>
      </c>
      <c r="J9" s="2">
        <v>1</v>
      </c>
      <c r="K9" s="7">
        <v>18</v>
      </c>
      <c r="M9" s="19" t="s">
        <v>47</v>
      </c>
      <c r="N9" s="20"/>
    </row>
    <row r="10" spans="1:14" x14ac:dyDescent="0.3">
      <c r="B10" s="6" t="s">
        <v>13</v>
      </c>
      <c r="C10" s="3">
        <v>46266</v>
      </c>
      <c r="D10" s="2" t="s">
        <v>14</v>
      </c>
      <c r="E10" s="4" t="s">
        <v>15</v>
      </c>
      <c r="F10" s="2" t="s">
        <v>16</v>
      </c>
      <c r="G10" s="4" t="s">
        <v>11</v>
      </c>
      <c r="H10" s="4" t="s">
        <v>17</v>
      </c>
      <c r="I10" s="5">
        <v>640</v>
      </c>
      <c r="J10" s="2">
        <v>1</v>
      </c>
      <c r="K10" s="7">
        <v>15</v>
      </c>
      <c r="M10" s="21" t="s">
        <v>48</v>
      </c>
      <c r="N10" s="22">
        <f>COUNTA(B9:B20)</f>
        <v>12</v>
      </c>
    </row>
    <row r="11" spans="1:14" x14ac:dyDescent="0.3">
      <c r="B11" s="6" t="s">
        <v>18</v>
      </c>
      <c r="C11" s="3">
        <v>46267</v>
      </c>
      <c r="D11" s="2" t="s">
        <v>19</v>
      </c>
      <c r="E11" s="4" t="s">
        <v>20</v>
      </c>
      <c r="F11" s="2" t="s">
        <v>21</v>
      </c>
      <c r="G11" s="4" t="s">
        <v>22</v>
      </c>
      <c r="H11" s="4" t="s">
        <v>23</v>
      </c>
      <c r="I11" s="5">
        <v>820</v>
      </c>
      <c r="J11" s="2">
        <v>1</v>
      </c>
      <c r="K11" s="7">
        <v>12</v>
      </c>
      <c r="M11" s="23" t="s">
        <v>49</v>
      </c>
      <c r="N11" s="24">
        <f>SUM(Tabla2[Cantidad_Residuos_Kg])</f>
        <v>11720</v>
      </c>
    </row>
    <row r="12" spans="1:14" x14ac:dyDescent="0.3">
      <c r="B12" s="6" t="s">
        <v>24</v>
      </c>
      <c r="C12" s="3">
        <v>46267</v>
      </c>
      <c r="D12" s="2" t="s">
        <v>25</v>
      </c>
      <c r="E12" s="4" t="s">
        <v>26</v>
      </c>
      <c r="F12" s="2" t="s">
        <v>10</v>
      </c>
      <c r="G12" s="4" t="s">
        <v>11</v>
      </c>
      <c r="H12" s="4" t="s">
        <v>12</v>
      </c>
      <c r="I12" s="5">
        <v>1430</v>
      </c>
      <c r="J12" s="2">
        <v>1</v>
      </c>
      <c r="K12" s="7">
        <v>20</v>
      </c>
      <c r="M12" s="21" t="s">
        <v>50</v>
      </c>
      <c r="N12" s="22">
        <f>SUM(J9:J20)</f>
        <v>12</v>
      </c>
    </row>
    <row r="13" spans="1:14" x14ac:dyDescent="0.3">
      <c r="B13" s="6" t="s">
        <v>27</v>
      </c>
      <c r="C13" s="3">
        <v>46268</v>
      </c>
      <c r="D13" s="2" t="s">
        <v>28</v>
      </c>
      <c r="E13" s="4" t="s">
        <v>29</v>
      </c>
      <c r="F13" s="2" t="s">
        <v>16</v>
      </c>
      <c r="G13" s="4" t="s">
        <v>11</v>
      </c>
      <c r="H13" s="4" t="s">
        <v>17</v>
      </c>
      <c r="I13" s="5">
        <v>590</v>
      </c>
      <c r="J13" s="2">
        <v>1</v>
      </c>
      <c r="K13" s="7">
        <v>14</v>
      </c>
      <c r="M13" s="23" t="s">
        <v>51</v>
      </c>
      <c r="N13" s="24">
        <f>SUM(K9:K20)</f>
        <v>208</v>
      </c>
    </row>
    <row r="14" spans="1:14" x14ac:dyDescent="0.3">
      <c r="B14" s="6" t="s">
        <v>30</v>
      </c>
      <c r="C14" s="3">
        <v>46268</v>
      </c>
      <c r="D14" s="2" t="s">
        <v>31</v>
      </c>
      <c r="E14" s="4" t="s">
        <v>32</v>
      </c>
      <c r="F14" s="2" t="s">
        <v>21</v>
      </c>
      <c r="G14" s="4" t="s">
        <v>22</v>
      </c>
      <c r="H14" s="4" t="s">
        <v>23</v>
      </c>
      <c r="I14" s="5">
        <v>910</v>
      </c>
      <c r="J14" s="2">
        <v>1</v>
      </c>
      <c r="K14" s="7">
        <v>17</v>
      </c>
    </row>
    <row r="15" spans="1:14" x14ac:dyDescent="0.3">
      <c r="B15" s="6" t="s">
        <v>33</v>
      </c>
      <c r="C15" s="3">
        <v>46269</v>
      </c>
      <c r="D15" s="2" t="s">
        <v>34</v>
      </c>
      <c r="E15" s="4" t="s">
        <v>35</v>
      </c>
      <c r="F15" s="2" t="s">
        <v>10</v>
      </c>
      <c r="G15" s="4" t="s">
        <v>11</v>
      </c>
      <c r="H15" s="4" t="s">
        <v>12</v>
      </c>
      <c r="I15" s="5">
        <v>1380</v>
      </c>
      <c r="J15" s="2">
        <v>1</v>
      </c>
      <c r="K15" s="7">
        <v>21</v>
      </c>
    </row>
    <row r="16" spans="1:14" x14ac:dyDescent="0.3">
      <c r="B16" s="6" t="s">
        <v>36</v>
      </c>
      <c r="C16" s="3">
        <v>46269</v>
      </c>
      <c r="D16" s="2" t="s">
        <v>37</v>
      </c>
      <c r="E16" s="4" t="s">
        <v>38</v>
      </c>
      <c r="F16" s="2" t="s">
        <v>16</v>
      </c>
      <c r="G16" s="4" t="s">
        <v>11</v>
      </c>
      <c r="H16" s="4" t="s">
        <v>17</v>
      </c>
      <c r="I16" s="5">
        <v>710</v>
      </c>
      <c r="J16" s="2">
        <v>1</v>
      </c>
      <c r="K16" s="7">
        <v>16</v>
      </c>
    </row>
    <row r="17" spans="2:11" x14ac:dyDescent="0.3">
      <c r="B17" s="6" t="s">
        <v>39</v>
      </c>
      <c r="C17" s="3">
        <v>46270</v>
      </c>
      <c r="D17" s="2" t="s">
        <v>40</v>
      </c>
      <c r="E17" s="4" t="s">
        <v>41</v>
      </c>
      <c r="F17" s="2" t="s">
        <v>21</v>
      </c>
      <c r="G17" s="4" t="s">
        <v>22</v>
      </c>
      <c r="H17" s="4" t="s">
        <v>23</v>
      </c>
      <c r="I17" s="5">
        <v>860</v>
      </c>
      <c r="J17" s="2">
        <v>1</v>
      </c>
      <c r="K17" s="7">
        <v>19</v>
      </c>
    </row>
    <row r="18" spans="2:11" x14ac:dyDescent="0.3">
      <c r="B18" s="6" t="s">
        <v>42</v>
      </c>
      <c r="C18" s="3">
        <v>46270</v>
      </c>
      <c r="D18" s="2" t="s">
        <v>43</v>
      </c>
      <c r="E18" s="4" t="s">
        <v>44</v>
      </c>
      <c r="F18" s="2" t="s">
        <v>10</v>
      </c>
      <c r="G18" s="4" t="s">
        <v>11</v>
      </c>
      <c r="H18" s="4" t="s">
        <v>12</v>
      </c>
      <c r="I18" s="5">
        <v>1510</v>
      </c>
      <c r="J18" s="2">
        <v>1</v>
      </c>
      <c r="K18" s="7">
        <v>23</v>
      </c>
    </row>
    <row r="19" spans="2:11" x14ac:dyDescent="0.3">
      <c r="B19" s="6" t="s">
        <v>45</v>
      </c>
      <c r="C19" s="3">
        <v>46271</v>
      </c>
      <c r="D19" s="2" t="s">
        <v>8</v>
      </c>
      <c r="E19" s="4" t="s">
        <v>9</v>
      </c>
      <c r="F19" s="2" t="s">
        <v>16</v>
      </c>
      <c r="G19" s="4" t="s">
        <v>11</v>
      </c>
      <c r="H19" s="4" t="s">
        <v>17</v>
      </c>
      <c r="I19" s="5">
        <v>680</v>
      </c>
      <c r="J19" s="2">
        <v>1</v>
      </c>
      <c r="K19" s="7">
        <v>18</v>
      </c>
    </row>
    <row r="20" spans="2:11" x14ac:dyDescent="0.3">
      <c r="B20" s="11" t="s">
        <v>46</v>
      </c>
      <c r="C20" s="12">
        <v>46271</v>
      </c>
      <c r="D20" s="13" t="s">
        <v>14</v>
      </c>
      <c r="E20" s="14" t="s">
        <v>15</v>
      </c>
      <c r="F20" s="13" t="s">
        <v>21</v>
      </c>
      <c r="G20" s="14" t="s">
        <v>22</v>
      </c>
      <c r="H20" s="14" t="s">
        <v>23</v>
      </c>
      <c r="I20" s="15">
        <v>940</v>
      </c>
      <c r="J20" s="13">
        <v>1</v>
      </c>
      <c r="K20" s="16">
        <v>15</v>
      </c>
    </row>
  </sheetData>
  <mergeCells count="3">
    <mergeCell ref="M9:N9"/>
    <mergeCell ref="B3:K5"/>
    <mergeCell ref="B6:K7"/>
  </mergeCells>
  <dataValidations count="4">
    <dataValidation type="decimal" operator="greaterThan" sqref="I9:I20 K9:K20" xr:uid="{9BA1F1D9-AB09-466C-8519-5994A95CD183}">
      <formula1>0</formula1>
      <formula2>0</formula2>
    </dataValidation>
    <dataValidation type="whole" operator="equal" sqref="J9:J20" xr:uid="{9048181B-A3BA-4BC4-B3FE-91A4F92A82EA}">
      <formula1>1</formula1>
      <formula2>0</formula2>
    </dataValidation>
    <dataValidation type="list" sqref="H9:H20" xr:uid="{0C5A60A0-73E7-418E-B81B-F6E9FA408978}">
      <formula1>"Ordinario,Reciclable,Orgánico"</formula1>
      <formula2>0</formula2>
    </dataValidation>
    <dataValidation type="list" sqref="G9:G20" xr:uid="{54CABBA4-BEDD-4497-8F76-640ABBA68D67}">
      <formula1>"Compactador,Camión liviano"</formula1>
      <formula2>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prueba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Fernanda Puentes Avendaño</dc:creator>
  <dc:description/>
  <cp:lastModifiedBy>Alison Fernanda Puentes Avendaño</cp:lastModifiedBy>
  <cp:revision>0</cp:revision>
  <dcterms:created xsi:type="dcterms:W3CDTF">2026-09-10T03:36:31Z</dcterms:created>
  <dcterms:modified xsi:type="dcterms:W3CDTF">2026-09-10T04:10:44Z</dcterms:modified>
  <dc:language>en-US</dc:language>
</cp:coreProperties>
</file>